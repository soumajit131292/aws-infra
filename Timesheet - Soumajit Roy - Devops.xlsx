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1"/>
  <workbookPr defaultThemeVersion="166925"/>
  <xr:revisionPtr revIDLastSave="0" documentId="8_{FDFA50D8-24C7-4F69-8E68-528C011BE006}" xr6:coauthVersionLast="47" xr6:coauthVersionMax="47" xr10:uidLastSave="{00000000-0000-0000-0000-000000000000}"/>
  <bookViews>
    <workbookView xWindow="240" yWindow="105" windowWidth="14805" windowHeight="8010" firstSheet="4" activeTab="4" xr2:uid="{00000000-000D-0000-FFFF-FFFF00000000}"/>
  </bookViews>
  <sheets>
    <sheet name="January" sheetId="1" r:id="rId1"/>
    <sheet name="February" sheetId="2" r:id="rId2"/>
    <sheet name="March" sheetId="4" r:id="rId3"/>
    <sheet name="April" sheetId="5" r:id="rId4"/>
    <sheet name="May"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 l="1"/>
  <c r="G13" i="2"/>
  <c r="G12" i="2"/>
  <c r="G11" i="2"/>
  <c r="G7" i="2"/>
  <c r="G6" i="2"/>
  <c r="G5" i="2"/>
  <c r="G4" i="2"/>
  <c r="G3" i="2"/>
  <c r="G35" i="2"/>
  <c r="G34" i="2"/>
  <c r="G33" i="2"/>
  <c r="G32" i="2"/>
  <c r="G31" i="2"/>
</calcChain>
</file>

<file path=xl/sharedStrings.xml><?xml version="1.0" encoding="utf-8"?>
<sst xmlns="http://schemas.openxmlformats.org/spreadsheetml/2006/main" count="398" uniqueCount="205">
  <si>
    <t xml:space="preserve">             January</t>
  </si>
  <si>
    <t>Week</t>
  </si>
  <si>
    <t>Date</t>
  </si>
  <si>
    <t>Task</t>
  </si>
  <si>
    <t>Details</t>
  </si>
  <si>
    <t>Time Spend (Calls)
[In Hours]</t>
  </si>
  <si>
    <t>Time Spend (Task)
[In Hours]</t>
  </si>
  <si>
    <t>W2</t>
  </si>
  <si>
    <t>1. Introdcution Call of the project
2. Architecture analysis</t>
  </si>
  <si>
    <t>1. Task assignment, project flow, required components discussion
2. Architecture analysis with HA enabled + privatelink consideration between producer 
and consumer account</t>
  </si>
  <si>
    <t>1. Design architecture diagram
2. Cost estimation of required AWS services</t>
  </si>
  <si>
    <t>1. Proposed HA enabled AWS VPC architecture along with required Privatelink 
setup between Producer and Consumer account, also mentioned the limitations of 
privatelink, [ privatelink is regional resource, and it is not scalable solution to onboard multiple customer in future ]
2. Provided detailed cost estimation of the components</t>
  </si>
  <si>
    <t>1. Call for proposed architecture discussion
2. Producer AWS account to Consumer  AWS account connectivity setup analysis</t>
  </si>
  <si>
    <t>1. Call for proposed architecture discussion and limitations, outcome
 is Transit gateway + site-to-site VPN setup, as hub and spoke architecture
2. Transit gateway and site-to-site setup analysis</t>
  </si>
  <si>
    <t>1. Site-to-site VPN Setup</t>
  </si>
  <si>
    <t>1. Producer side configuraiton analysis + identified components that needs to setup in Consumer end
2. Customer side configuration analysis</t>
  </si>
  <si>
    <t>NA</t>
  </si>
  <si>
    <t>W3</t>
  </si>
  <si>
    <t>1. Standup Call</t>
  </si>
  <si>
    <t>1. VPN Design Discusssion and customer requirement discussion</t>
  </si>
  <si>
    <t>1. Code setup for VPC</t>
  </si>
  <si>
    <t>1. Preparation of Terraform code to provision AWS VPC infrastructure, including public and private subnets for EKS, Aurora DB subnets, NAT Gateway,Internet Gateway,</t>
  </si>
  <si>
    <t>1. Preparation of Terraform code to provision AWS VPC infrastructure, including firewall rules, security groups, and route tables.</t>
  </si>
  <si>
    <t>1. Code validation</t>
  </si>
  <si>
    <t>1. VPC infrastructure validation by provisioning VMs across multiple subnets and testing the overall VPC setup.</t>
  </si>
  <si>
    <t>W4</t>
  </si>
  <si>
    <t xml:space="preserve">Discussion about whether we should provision the infra </t>
  </si>
  <si>
    <t>February</t>
  </si>
  <si>
    <t>W1</t>
  </si>
  <si>
    <t>1. S3 bucket creation for Terraform state file 
2. IAM role creation for provisioning resources 
via Terraform
3. VPC code setup and provisioning infra</t>
  </si>
  <si>
    <t>1. Created S3 bucket to store Terraform state file for remote state management. For each module, state file will store seperately. Easy for 
state management for each resources.
2. Configured IAM roles with least-privilege policies to enable Terraform to provision AWS resources securely. 
3. Developed Terraform code for VPC infrastructure setup and initiated resource provisioning.</t>
  </si>
  <si>
    <t>1. Setup private subnet, public subnet, 
DB subnet, firewall subnet</t>
  </si>
  <si>
    <t xml:space="preserve">1. Configured private subnet for application workloads, public subnet for internet-facing services,
DB subnet for Aurora database isolation, and firewall subnet for network security controls via terraform.
</t>
  </si>
  <si>
    <t>1. Security Group, NACL rule setup.</t>
  </si>
  <si>
    <t>1. Implemented security groups for adding on resource level.
2. Implemented stateless NACL rules, enforced on subnet level.</t>
  </si>
  <si>
    <t>1. Provisioned VMs in all the subnets,
connectivity test and resource isolation 
tests from external to private subnets
2. Standup Call</t>
  </si>
  <si>
    <t>1. Provisioned EC2 instances across all subnets to validate network segmentation
2. Conducted connectivity tests between subnets and verified resource isolation
by confirming external traffic cannot reach private subnets</t>
  </si>
  <si>
    <t>1. Testing continues and firewall and security 
group modification according to the requirement</t>
  </si>
  <si>
    <t>1. Continued end-to-end testing of VPC infrastructure
2. Modified firewall rules and security group configurations to align with project requirements</t>
  </si>
  <si>
    <t>1. EKS Cluster setup via Terraform</t>
  </si>
  <si>
    <t>1. Backend configuration, latest AWS provider setup.
2. Provisioned Amazon EKS cluster using Terraform with managed control plane configuration,
including VPC integration, cluster security groups, and Kubernetes API endpoint setup.</t>
  </si>
  <si>
    <t>1. EKS Cluster node group setup
2. Role creation for accessing EKS cluster
 from bastion host
3. Standup Call</t>
  </si>
  <si>
    <t>1. Configured EKS managed node group with auto-scaling policies and instance specifications
2. Created IAM roles and Kubernetes RBAC bindings to allow secure EKS cluster access
from bastion host for administrative operations.</t>
  </si>
  <si>
    <t>1. ALB controller installation via Helm chart
2. RBAC role setup with service account 
for creating ALB in public subnet</t>
  </si>
  <si>
    <t>1. Installed AWS ALB Ingress Controller via Helm chart for Layer 7 load balancing
2. Configured RBAC roles and Kubernetes service accounts with IAM integration
to enable ALB provisioning in the public subnet</t>
  </si>
  <si>
    <t>1. EKS Add-on: CoreDNS, kube-proxy, 
VPC CNI, Amazon EBS CSI installation via
 Helm chart
2. Call with Shubham for giving walkthrough
of the infra details and detailed updates</t>
  </si>
  <si>
    <t>1. Copied all Helm chart container images in amd64 format and pushed them to AWS ECR to ensure they are preserved for future use, preventing image loss and avoiding installation failures in new environments.
2. Installed essential EKS add-ons: CoreDNS for DNS resolution, kube-proxy for network rules,
VPC CNI for pod networking, and Amazon EBS CSI driver for persistent volume management—
all deployed via Helm charts for version-controlled management.</t>
  </si>
  <si>
    <t>call with Shubham : 0.5</t>
  </si>
  <si>
    <t>1. VPC modification for accessing 
Kubernetes ingress from external</t>
  </si>
  <si>
    <t>1. Deployed a dummy application to validate external access, including Ingress deployment, Service creation, and Pod creation and 
pod connectivity
2. Modified VPC route tables, security groups, and subnet configurations to enable
external traffic routing through Kubernetes ingress resources via ALB</t>
  </si>
  <si>
    <t>1. ArgoCD installation in EKS via Helm chart
2. External Secret Operator setup in EKS via 
Terraform</t>
  </si>
  <si>
    <t>1. Prepared scripts : Copied all Helm chart container images in amd64 format and pushed them to AWS ECR to ensure they are preserved 
for future use, preventing image loss and avoiding installation failures in new environments.
2. Deployed ArgoCD in EKS cluster via Helm chart for GitOps-based continuous delivery
3. Configured External Secrets Operator using Terraform to sync AWS Secrets Manager
with Kubernetes secrets securely
4. Confdigured ROLES &amp; IRSA so that ESO can pull secrets from AWS Secrets Manager</t>
  </si>
  <si>
    <t>1. OIDC auth provider setup in AWS for GitHub
Actions configuration
2. Jumphost VM setup via Terraform for EKS
cluster access
3. Tools installation (kubectl, Helm, Docker, AWS CLI, 
Terraform) via Ansible module</t>
  </si>
  <si>
    <t>1. Configured OIDC identity provider in AWS IAM to enable GitHub Actions
authentication for CI/CD pipeline integration
2. Provisioned jumphost VM via Terraform for secure EKS cluster administration
3. Automated installation of DevOps toolchain (kubectl, Helm, Docker, AWS CLI,
Terraform) on jumphost using Ansible playbooks.</t>
  </si>
  <si>
    <t>1. Aurora DB setup using Terraform
2. VPC configuration modification for accessing
Aurora from EKS</t>
  </si>
  <si>
    <t>1. Provisioned Amazon Aurora PostgreSQL database cluster using Terraform
with multi-AZ configuration and encryption at rest
2. Updated VPC security groups and route tables to enable secure connectivity
between EKS pods and Aurora DB endpoints</t>
  </si>
  <si>
    <t>1. Pipeline setup 
2. Repository setup for Helm chart tracking
3. Helm chart preparation
4. Standup call
5. Call with Pranit for UI issue fixing</t>
  </si>
  <si>
    <t>1. Configured CI/CD pipeline for automated build, test, and deployment workflows
2. Prepared 9 backend Dockerfiles for docker image preparation
2. Set up dedicated repository for Helm chart version tracking and release management
3. Prepared application Helm charts with parameterized values for environment-specific deployments
4. Standup call for sprint progress review and blocker discussion
5. Debugging session with Pranit to resolve front-end UI rendering issues</t>
  </si>
  <si>
    <t>0.5
call with Pranit for UI routing fix : 1</t>
  </si>
  <si>
    <t>1. Fixing backend Docker file crash loop issue</t>
  </si>
  <si>
    <t>1. Diagnosed and resolved CrashLoopBackOff issue in backend service caused by
incorrect Docker file configuration and missing environment variables</t>
  </si>
  <si>
    <t>1. Application deployment walkthrough call 
with Pramodh and Shankar
2. Property file updation script with Docker
 file modification
3. Standup call</t>
  </si>
  <si>
    <t>1. Conducted application deployment walkthrough session with Pramodh and Shankar
covering deployment architecture, rollback procedures, and monitoring setup
2. Review code deployment architecture
3. Developed property file updation script and modified Docker file for dynamic
configuration injection at runtime
4. Standup call for daily progress sync and task coordination</t>
  </si>
  <si>
    <t>0.5
call with Pramodh + Shankar : 1.5</t>
  </si>
  <si>
    <t>1. Tenant setup</t>
  </si>
  <si>
    <t>1. Configured tenant-specific namespaces, resource quotas, and network policies
in EKS cluster for multi-tenant application isolation</t>
  </si>
  <si>
    <t>1. Postgres query execution in Aurora via Helm chart
2. sapjco.jar file inclusion in classpath</t>
  </si>
  <si>
    <t>1. Executed PostgreSQL schema initialization queries in Aurora DB using Kubernetes Job
deployed via Helm chart for repeatable database setup
2. Resolved classpath configuration to include sapjco.jar for SAP JCo connectivity</t>
  </si>
  <si>
    <t xml:space="preserve">1. Updated Architecture Diagram
2. Created Netwrok Flow Diagram </t>
  </si>
  <si>
    <t>1. Modified Architecure Diagram
2. Network flow diagram in png format.</t>
  </si>
  <si>
    <t xml:space="preserve">                                                          NA </t>
  </si>
  <si>
    <t>1. New tenant setup
2. Standup call</t>
  </si>
  <si>
    <t>1. During the tenant setup process, I identified an application-side issue where the latest code changes were not updated in the GitHub repository. After debugging and identifying the root cause, I informed the developers. Once they pushed the updated code, the issue was resolved.
2. Also getting 502 bad gateway issue. I also discovered a frontend configuration issue where the base URL needed to be updated. After correcting the configuration, the tenant setup started working as expected.</t>
  </si>
  <si>
    <t>1. Connector application visible without creating
on the application side</t>
  </si>
  <si>
    <t>1. Identified that the frontend application was redirecting to an incorrect URL, which caused it to point to another environment’s application list. After updating the base URL, it started working as expected.</t>
  </si>
  <si>
    <t>1. All the applcation Logs file not visible in UI and 
it must be downloadable</t>
  </si>
  <si>
    <t>1. After analyzing the requirements and reviewing the code, it was determined that an EFS volume needed to be created so that each pod can write logs to a separate location, while the ahscheduler pod can read logs from a designated common directory. Accordingly, an EFS file system (5 GB) was created. The volume was mounted to each container, and dedicated directories were created within EFS to ensure that only the intended log path is accessible from each pod.
2. Executed the required SQL script in the database to enable log file download functionality.</t>
  </si>
  <si>
    <t>1. CI pipeline agent creation</t>
  </si>
  <si>
    <t>1. The tenant was being created at runtime, and whenever the loginmodsvc service restarted, the tenant configuration was getting deleted and user is unable to login. To ensure persistence, an EFS volume was attached to the loginmodsvc service at a specific mount location. This ensures that once the tenant configuration is created, it is stored persistently and does not get removed on pod restarts.
2. Developed a Terraform module to provision the GitHub Actions runner infrastructure.
3. Created a dedicated node pool using Spot instances to host the GitHub Actions runner agents. Configured the node pool with taints and node selectors, and enabled tolerations and node affinity in the runner configuration to ensure that only the runner agents are scheduled on Spot instances. The GitHub Actions controller is configured to run exclusively on the On-Demand node pool.</t>
  </si>
  <si>
    <t xml:space="preserve">1. Continuing CI pipeline agent setup </t>
  </si>
  <si>
    <t>1. Configured the GitHub App to enable authentication between GitHub and the GitHub Actions runner agents.
2. Published all required base Docker images to ECR to eliminate external base image dependencies going forward.
3. Updated the IAM assume role policy to allow pulling third-party images from ECR during the Docker build process.</t>
  </si>
  <si>
    <t> </t>
  </si>
  <si>
    <t>March</t>
  </si>
  <si>
    <t>Resolved logging module folder structure issue and file download failure reported by the application team.</t>
  </si>
  <si>
    <t>1. Modified run-config-init.sh script and Dockerfile to ensure correct folder structure is created and copied into the Docker image.
2. Received SQL query from Dev team for file download fix. Updated the DB-Migration job to execute the query.
3. Redeployed the application with the latest code changes pushed by developers.</t>
  </si>
  <si>
    <t>Resolved Job Scheduler connectivity issue, incorrect properties file reference, and new application creation failure on existing tenant.</t>
  </si>
  <si>
    <t>1. Debugged host connection issue; identified missing configuration files in the repository. Coordinated with Dev team to push updates. Updated deployment scripts and Dockerfile to include the required configurations.
2. Corrected the script to reference the correct properties file path (/app/AccessHubScheduler/schedular.properties).
3. Investigated application creation failure on existing tenant post-redeployment. Flagged to Dev team to identify which configuration files need to be persisted across deployments.</t>
  </si>
  <si>
    <t>Resolved application registration keystore (appRegistration.ks) persistence issue causing failure on redeployment.</t>
  </si>
  <si>
    <t>1. Identified root cause: the appRegistration.ks file was being regenerated on each deployment, causing loss of previously registered application data.
2. Dev team implemented code-side changes to support keystore persistence.
3. Updated deployment script and Dockerfile to persist the keystore file. Created a read-write volume and mounted it to the respective services to retain data across redeployments.
4. Completed redeployment and validated the fix.</t>
  </si>
  <si>
    <t>Resolved missing configuration file error for a service identified during testing.</t>
  </si>
  <si>
    <t>1. Debugged the file-not-found error during testing; found that required configuration files were not checked into the repository.
2. Coordinated with Dev team to push the missing files.
3. Redeployed the updated code and verified the fix.</t>
  </si>
  <si>
    <t>Resolved missing configuration files across multiple services (adminsvc, apponbsvc, ahscheduler).</t>
  </si>
  <si>
    <t>1. During subsequent testing, identified additional missing configuration files across multiple services.
2. Coordinated with Dev team to confirm all required configuration files and ensured they were added to the repository.
3. Updated the deployment script and Dockerfile to incorporate the new configurations.
4. Redeployed and validated all affected services.</t>
  </si>
  <si>
    <t>Team sync call – project status update, task alignment, and next steps discussion.</t>
  </si>
  <si>
    <t>17/03/2026</t>
  </si>
  <si>
    <t xml:space="preserve">Team sync call </t>
  </si>
  <si>
    <t>18/03/2026</t>
  </si>
  <si>
    <t>Finalized Architecture Diagram and Network Diagram for the infrastructure setup.</t>
  </si>
  <si>
    <t>19/03/2026</t>
  </si>
  <si>
    <t>Team sync call – review and follow-up on architecture and deployment progress.</t>
  </si>
  <si>
    <t>20/03/2026</t>
  </si>
  <si>
    <t>Prepared task listing for High Availability, Backup, Route53 DNS, and Stable Host requirements.</t>
  </si>
  <si>
    <t>21/03/2026</t>
  </si>
  <si>
    <t>EKS – HA Control Plane &amp; Worker Nodes (10 tasks)</t>
  </si>
  <si>
    <t xml:space="preserve">1. Ensure cluster spans minimum 2 AZs – done
2. Enable private API endpoint – done
3. Enable control plane logging (API, Audit, Scheduler, ControllerManager, Authenticator) – done
4. Enable envelope encryption using KMS - external secret operator + aws secret manager – done
5. Enable OIDC provider (IRSA) – done
</t>
  </si>
  <si>
    <t>22/03/2026</t>
  </si>
  <si>
    <t>EKS – HA Control Plane &amp; Worker Nodes (10 tasks) - continue</t>
  </si>
  <si>
    <t>1. Create minimum 2 managed node groups across AZs – done
2. Set minSize=1 and desiredSize=1 – done
3. Enable node auto-repair – done
4. Install Amazon CloudWatch Observability for node repairing – done
5. Place nodes in private subnets – done</t>
  </si>
  <si>
    <t>23/03/2026</t>
  </si>
  <si>
    <t>EKS – Backup / Velero (6 tasks)</t>
  </si>
  <si>
    <t>1. Implement Velero for Kubernetes resource backup – pending
2. Configure S3 bucket for Velero backups with versioning enabled – pending
3. Enable backup of Persistent Volumes (EBS snapshots) – pending
4. Schedule daily cluster resource backups – pending
5. Test restore procedure quarterly – pending
6. Document restore runbook – pending</t>
  </si>
  <si>
    <t>24/03/2026</t>
  </si>
  <si>
    <t>EKS – Auto Scaling Nodes (4 tasks)</t>
  </si>
  <si>
    <t>1. Install Cluster Autoscaler via Helm – done
2. Configure IRSA for Cluster Autoscaler – done
3. Enable balance-similar-node-groups flag – done
4. Validate safe scale-down with PDBs – done</t>
  </si>
  <si>
    <t>25/03/2026</t>
  </si>
  <si>
    <t>Application Pods – HA &amp; Auto Scaling (5 tasks)</t>
  </si>
  <si>
    <t>1. Minimum replicas = 3 per deployment – done
2. Configure topologySpreadConstraints across AZs – done
3. Create Pod Disruption Budget (minAvailable=1) – done
4. Configure HPA (min=3, max=defined, CPU target 60-70%) – pending
5. Define CPU and memory requests/limits – done</t>
  </si>
  <si>
    <t>26/03/2026</t>
  </si>
  <si>
    <t>ALB – HA (6 tasks)</t>
  </si>
  <si>
    <t>1. Attach ALB to minimum 2 AZ subnets – done
2. Use IP target mode – done
3. Configure proper health check path – done
4. Enable access logs to S3 – done
5. Enable deletion protection – done
6. Configure idle timeout – done</t>
  </si>
  <si>
    <t>27/03/2026</t>
  </si>
  <si>
    <t>EFS – HA &amp; Backup (5 tasks)</t>
  </si>
  <si>
    <t>1. Ensure mount targets exist in both AZs – done
2. Use Elastic Throughput mode – done
3. Configure optimized NFS mount options – done
4. Enable automated backup using AWS Backup – done
5. Define backup retention policy – done</t>
  </si>
  <si>
    <t>28/03/2026</t>
  </si>
  <si>
    <t>RDS – HA, Backup &amp; Stability (9 tasks)</t>
  </si>
  <si>
    <t xml:space="preserve">1. Enable Multi-AZ deployment – done
2. Enable storage auto scaling – done
3. Enable deletion protection – done
4. Enable Performance Insights and Enhanced Monitoring – done
5. Encrypt using KMS – done
</t>
  </si>
  <si>
    <t>29/03/2026</t>
  </si>
  <si>
    <t>RDS – HA, Backup &amp; Stability (9 tasks) - continue</t>
  </si>
  <si>
    <t>1. Enable automated backups (7 days retention) – done
2. Enable Point-In-Time Recovery (PITR) – done
3. Define manual snapshot process before schema changes – done
4. Implement connection pooling (RDS Proxy) – done</t>
  </si>
  <si>
    <t>W5</t>
  </si>
  <si>
    <t>30/03/2026</t>
  </si>
  <si>
    <t>AWS Route53 Private Hosted Zone 
Connected with shubham : for setting up CNAME in accesshub public DNS zone.</t>
  </si>
  <si>
    <t>1. Created Route53 Private Hosted Zone for internal service DNS resolution – done
2. Configured custom DNS records (CNAME/A) pointing to RDS endpoints – done
3. Integrated hosted zone with VPC for internal name resolution – done
4. Replaced hardcoded DB endpoints with DNS-based access strategy – done
5. Validated DNS resolution from application pods/EC2 within VPC – done
6. Provisioned RDS Proxy in front of RDS database – done
7. Enabled IAM role-based authentication for proxy access – done
8. Updated application connection strings to use RDS Proxy endpoint – done
9. Redploy the code and tested the applciation access</t>
  </si>
  <si>
    <t>31/03/2026</t>
  </si>
  <si>
    <t>RDS Proxy Setup (8 tasks) &amp; KMS Encryption (1 task)</t>
  </si>
  <si>
    <t>1. Provisioned RDS Proxy in front of RDS database – done
2. Enabled IAM role-based authentication for proxy access – done
3. Updated application connection strings to use RDS Proxy endpoint – done
4. Enable KMS encryption on RDS – done</t>
  </si>
  <si>
    <t>April</t>
  </si>
  <si>
    <t xml:space="preserve">1. Prometheus installation
</t>
  </si>
  <si>
    <t>1. Created HELM chart for installaing prometheus workspace.
2. Install node exporter, kube-state-metrices, for exporting metrics from eks to prometheus contorl plane</t>
  </si>
  <si>
    <t>1. Grafana Setup
2. Call</t>
  </si>
  <si>
    <t>1. Install GRAFANA Helm chart in EKS.
2. Mirror all the images to ECR
3. Setup the prometheus endpoint as grafana datasource</t>
  </si>
  <si>
    <t>Grafana Dashboard Setup</t>
  </si>
  <si>
    <t xml:space="preserve">1. Setup grafana dashboard for monitoring : pod resource usage utilisaiton, node resource utilisation, pod uptime, pod restarts, </t>
  </si>
  <si>
    <t xml:space="preserve">Documentation </t>
  </si>
  <si>
    <t>1. Documentation - Infra setup and infra detials</t>
  </si>
  <si>
    <t>1. Documentation - CICD setup and detilas</t>
  </si>
  <si>
    <t>13/04/2026</t>
  </si>
  <si>
    <t>Call with team for finalising a separate domain in route53 or godaddy</t>
  </si>
  <si>
    <t xml:space="preserve">1. Decided service is Route53 </t>
  </si>
  <si>
    <t>14/04/2026</t>
  </si>
  <si>
    <t>call with subham for setting up domain in route53</t>
  </si>
  <si>
    <t>1. Public hosted zone has been created in route53 for setting up public hosted zone</t>
  </si>
  <si>
    <t>16/04/2025</t>
  </si>
  <si>
    <t>Standup call : Staus update + next plan of action</t>
  </si>
  <si>
    <t>17/04/2026</t>
  </si>
  <si>
    <t>1. Route53 Subdomain Configuration
2. Route53 Health Check Setup
3. Primary Region Integration</t>
  </si>
  <si>
    <t>1. Configured subdomain in Route53
2. Configured Route53 health check for DR failover validation
3. Integrated Route53 health check with primary region load balancer endpoint</t>
  </si>
  <si>
    <t>18/04/2026</t>
  </si>
  <si>
    <t>1. Aggregated Health Check Application Development
2. Backend Health Endpoint Integration
3. Aggregated Health Endpoint Exposure
4. Dockerfile Preparation</t>
  </si>
  <si>
    <t>1. Developed aggregated Python application for centralized health monitoring
2. Integrated backend service health endpoints with aggregated health application
3. Configured aggregated application endpoint to expose combined health status
4. Prepared Dockerfile for aggregated health check application</t>
  </si>
  <si>
    <t>19/04/2026</t>
  </si>
  <si>
    <t>1. Helm Chart Preparation
2. Dedicated GitHub Actions Workflow
3. Deployment Control Logic
4. Route53 Health Endpoint Mapping</t>
  </si>
  <si>
    <t>1. Created Helm chart for Kubernetes deployment of aggregated application
2. Prepared separate GitHub Actions workflow for one-time deployment handling
3. Configured workflow to avoid repeated redeployment of the aggregated application
4. Configured Route53 health check to monitor aggregated application's health endpoint</t>
  </si>
  <si>
    <t>20/04/2026</t>
  </si>
  <si>
    <t>1. Alias Record Configuration
2. Failover Routing Integration
3. Document Updation</t>
  </si>
  <si>
    <t>1. Created Route53 A record with Alias enabled
2. Integrated Alias record with health check configuration for failover routing
3. Document updation</t>
  </si>
  <si>
    <t>21/04/2026</t>
  </si>
  <si>
    <t>27/04/2026</t>
  </si>
  <si>
    <t>Test Cases verification</t>
  </si>
  <si>
    <t xml:space="preserve">Test case verification for infra </t>
  </si>
  <si>
    <t>28/04/2026</t>
  </si>
  <si>
    <t>30/04/2026</t>
  </si>
  <si>
    <t>May</t>
  </si>
  <si>
    <t xml:space="preserve">Explore of Pen test on </t>
  </si>
  <si>
    <t>1. Standup call
2. Call for Booking.com infra region setup discussion</t>
  </si>
  <si>
    <t>1. Terraform module code modificaiton for 
Primary and DR region.</t>
  </si>
  <si>
    <t>1. VPC, EKS, ALB, Grafana, Prometheus, Github Agent,</t>
  </si>
  <si>
    <t>1. EFS, Aurora Global DB, ACM, Route53</t>
  </si>
  <si>
    <t>1. Argocd, External Secrets, Velero</t>
  </si>
  <si>
    <t>1. Subdomain setup for primary and dr region setup
on Route53
2. Module appy on Primary region and DR region.</t>
  </si>
  <si>
    <t>1. Terraform module preparation for SSL Procurement
on Route 53.
2. Terraform Module preparation for WAF Rule</t>
  </si>
  <si>
    <t>1. Pipeline changes - Applicaiton Building pipeline Modification</t>
  </si>
  <si>
    <t>1. Pipeline changes - Tennant setup, Health aggregator 
 pipeline Modification
2. Standup call</t>
  </si>
  <si>
    <t>13/5/2026</t>
  </si>
  <si>
    <t>1. DR setup - EFS volume setup changes - Separated EFS Volume 
for logs and configuraiton files</t>
  </si>
  <si>
    <t>14/5/2026</t>
  </si>
  <si>
    <t>1. call
2. SSL integration on applciation end.
3. Terraform module preparation for SIEM Pipeline</t>
  </si>
  <si>
    <t>15/05/2026</t>
  </si>
  <si>
    <t>1. Task listing
2. Web ACL waf rule integration with ALB</t>
  </si>
  <si>
    <t>16/05/2026</t>
  </si>
  <si>
    <t>1. DR trigger architecture analysis</t>
  </si>
  <si>
    <t>17/05/2026</t>
  </si>
  <si>
    <t xml:space="preserve">1. AWS WAF Log investigation </t>
  </si>
  <si>
    <t>1. AWS WAF Cloud Watch log investigaiton for which WAF rule needs to be tuned</t>
  </si>
  <si>
    <t>18/05/2026</t>
  </si>
  <si>
    <t xml:space="preserve">1. AWS WAF Rule Tunning
</t>
  </si>
  <si>
    <t xml:space="preserve">1. AWS WAF rule tunning based on the log details
2. Call with pen test team, </t>
  </si>
  <si>
    <t>19/05/2026</t>
  </si>
  <si>
    <t>1. Call for the requirement of LB Changes
2. AWS LB Header addition.
3. Deploymnets</t>
  </si>
  <si>
    <t>21/05/2026</t>
  </si>
  <si>
    <t>1. Call with the status update
2. SSL Policy Modification for disabling TLS v1.0, v1.1</t>
  </si>
  <si>
    <t>22/05/2026</t>
  </si>
  <si>
    <t>1. Persistent volume access for other services like 
adminsvc, earlier it was only for loginmodsvc
2. Helm values modificaiton
3. Deployments</t>
  </si>
  <si>
    <t>23/05/2026</t>
  </si>
  <si>
    <t>1. Applciation Deployments for SSO header fixes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</si>
</sst>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9">
    <font>
      <sz val="11"/>
      <color theme="1"/>
      <name val="Calibri"/>
      <family val="2"/>
      <scheme val="minor"/>
    </font>
    <font>
      <sz val="12"/>
      <color theme="1"/>
      <name val="Calibri"/>
      <family val="2"/>
      <scheme val="minor"/>
    </font>
    <font>
      <b/>
      <sz val="14"/>
      <color theme="1"/>
      <name val="Calibri"/>
      <family val="2"/>
      <scheme val="minor"/>
    </font>
    <font>
      <b/>
      <sz val="14"/>
      <color rgb="FF000000"/>
      <name val="Calibri"/>
      <family val="2"/>
    </font>
    <font>
      <sz val="11"/>
      <color rgb="FF000000"/>
      <name val="Calibri"/>
      <family val="2"/>
    </font>
    <font>
      <sz val="12"/>
      <color rgb="FF000000"/>
      <name val="Calibri"/>
      <scheme val="minor"/>
    </font>
    <font>
      <sz val="12"/>
      <color theme="1"/>
      <name val="Calibri"/>
      <scheme val="minor"/>
    </font>
    <font>
      <sz val="12"/>
      <color rgb="FF000000"/>
      <name val="Calibri"/>
      <family val="2"/>
    </font>
    <font>
      <sz val="12"/>
      <color rgb="FF000000"/>
      <name val="Calibri"/>
      <charset val="1"/>
    </font>
  </fonts>
  <fills count="8">
    <fill>
      <patternFill patternType="none"/>
    </fill>
    <fill>
      <patternFill patternType="gray125"/>
    </fill>
    <fill>
      <patternFill patternType="solid">
        <fgColor theme="2"/>
        <bgColor indexed="64"/>
      </patternFill>
    </fill>
    <fill>
      <patternFill patternType="solid">
        <fgColor theme="8" tint="0.59999389629810485"/>
        <bgColor indexed="64"/>
      </patternFill>
    </fill>
    <fill>
      <patternFill patternType="solid">
        <fgColor rgb="FFBDD7EE"/>
        <bgColor indexed="64"/>
      </patternFill>
    </fill>
    <fill>
      <patternFill patternType="solid">
        <fgColor theme="4" tint="0.79998168889431442"/>
        <bgColor indexed="64"/>
      </patternFill>
    </fill>
    <fill>
      <patternFill patternType="solid">
        <fgColor rgb="FFD9E1F2"/>
        <bgColor rgb="FF000000"/>
      </patternFill>
    </fill>
    <fill>
      <patternFill patternType="solid">
        <fgColor rgb="FFBDD7EE"/>
        <bgColor rgb="FF0000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66">
    <xf numFmtId="0" fontId="0" fillId="0" borderId="0" xfId="0"/>
    <xf numFmtId="0" fontId="1" fillId="0" borderId="0" xfId="0" applyFont="1"/>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wrapText="1"/>
    </xf>
    <xf numFmtId="0" fontId="1" fillId="0" borderId="1" xfId="0" applyFont="1" applyBorder="1" applyAlignment="1">
      <alignment horizontal="right" vertical="center" wrapText="1"/>
    </xf>
    <xf numFmtId="0" fontId="1" fillId="0" borderId="1" xfId="0" applyFont="1" applyBorder="1" applyAlignment="1">
      <alignment horizontal="right" vertical="center"/>
    </xf>
    <xf numFmtId="0" fontId="2"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xf>
    <xf numFmtId="14" fontId="1" fillId="0" borderId="4" xfId="0" applyNumberFormat="1" applyFont="1" applyBorder="1" applyAlignment="1">
      <alignment horizontal="left" vertical="center"/>
    </xf>
    <xf numFmtId="14" fontId="1" fillId="0" borderId="1" xfId="0" applyNumberFormat="1" applyFont="1" applyBorder="1"/>
    <xf numFmtId="0" fontId="1" fillId="0" borderId="1" xfId="0" applyFont="1" applyBorder="1"/>
    <xf numFmtId="0" fontId="1" fillId="0" borderId="1" xfId="0" applyFont="1" applyBorder="1" applyAlignment="1">
      <alignment horizontal="right"/>
    </xf>
    <xf numFmtId="0" fontId="1" fillId="0" borderId="1" xfId="0" applyFont="1" applyBorder="1" applyAlignment="1">
      <alignment wrapText="1"/>
    </xf>
    <xf numFmtId="164" fontId="1" fillId="0" borderId="5" xfId="0" applyNumberFormat="1" applyFont="1" applyBorder="1" applyAlignment="1">
      <alignment horizontal="left"/>
    </xf>
    <xf numFmtId="0" fontId="1" fillId="0" borderId="5" xfId="0" applyFont="1" applyBorder="1" applyAlignment="1">
      <alignment horizontal="left" wrapText="1"/>
    </xf>
    <xf numFmtId="0" fontId="1" fillId="0" borderId="5" xfId="0" applyFont="1" applyBorder="1" applyAlignment="1">
      <alignment horizontal="right"/>
    </xf>
    <xf numFmtId="164" fontId="1" fillId="0" borderId="1" xfId="0" applyNumberFormat="1" applyFont="1" applyBorder="1" applyAlignment="1">
      <alignment horizontal="left"/>
    </xf>
    <xf numFmtId="0" fontId="1" fillId="0" borderId="1" xfId="0" applyFont="1" applyBorder="1" applyAlignment="1">
      <alignment horizontal="left" wrapText="1"/>
    </xf>
    <xf numFmtId="0" fontId="1" fillId="0" borderId="5" xfId="0" applyFont="1" applyBorder="1" applyAlignment="1">
      <alignment horizontal="left"/>
    </xf>
    <xf numFmtId="0" fontId="1" fillId="0" borderId="1" xfId="0" applyFont="1" applyBorder="1" applyAlignment="1">
      <alignment horizontal="left"/>
    </xf>
    <xf numFmtId="0" fontId="1" fillId="0" borderId="1" xfId="0" applyFont="1" applyBorder="1" applyAlignment="1">
      <alignment horizontal="right" wrapText="1"/>
    </xf>
    <xf numFmtId="164" fontId="1" fillId="0" borderId="3" xfId="0" applyNumberFormat="1" applyFont="1" applyBorder="1" applyAlignment="1">
      <alignment horizontal="left"/>
    </xf>
    <xf numFmtId="0" fontId="1" fillId="0" borderId="3" xfId="0" applyFont="1" applyBorder="1" applyAlignment="1">
      <alignment horizontal="left" wrapText="1"/>
    </xf>
    <xf numFmtId="0" fontId="1" fillId="0" borderId="3" xfId="0" applyFont="1" applyBorder="1" applyAlignment="1">
      <alignment horizontal="right"/>
    </xf>
    <xf numFmtId="0" fontId="2" fillId="3" borderId="1" xfId="0" applyFont="1" applyFill="1" applyBorder="1" applyAlignment="1">
      <alignment horizontal="left" vertical="center" indent="1"/>
    </xf>
    <xf numFmtId="0" fontId="1" fillId="0" borderId="1" xfId="0" applyFont="1" applyBorder="1" applyAlignment="1">
      <alignment horizontal="left" vertical="center" indent="1"/>
    </xf>
    <xf numFmtId="0" fontId="0" fillId="0" borderId="0" xfId="0" applyAlignment="1">
      <alignment horizontal="left" vertical="center" indent="1"/>
    </xf>
    <xf numFmtId="0" fontId="1" fillId="0" borderId="5" xfId="0" applyFont="1" applyBorder="1" applyAlignment="1">
      <alignment horizontal="left" vertical="center" indent="1"/>
    </xf>
    <xf numFmtId="0" fontId="1" fillId="0" borderId="3" xfId="0" applyFont="1" applyBorder="1" applyAlignment="1">
      <alignment horizontal="left" vertical="center" indent="1"/>
    </xf>
    <xf numFmtId="14" fontId="0" fillId="0" borderId="0" xfId="0" applyNumberFormat="1"/>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vertical="center"/>
    </xf>
    <xf numFmtId="0" fontId="2" fillId="4" borderId="2" xfId="0" applyFont="1" applyFill="1" applyBorder="1" applyAlignment="1">
      <alignment horizontal="center" vertical="center" indent="1"/>
    </xf>
    <xf numFmtId="0" fontId="0" fillId="0" borderId="0" xfId="0" applyAlignment="1">
      <alignment horizontal="center" vertical="center"/>
    </xf>
    <xf numFmtId="14" fontId="2" fillId="4" borderId="2" xfId="0" applyNumberFormat="1" applyFont="1" applyFill="1" applyBorder="1" applyAlignment="1">
      <alignment horizontal="center" vertical="center"/>
    </xf>
    <xf numFmtId="0" fontId="2" fillId="4" borderId="7" xfId="0" applyFont="1" applyFill="1" applyBorder="1" applyAlignment="1">
      <alignment horizontal="center" vertical="center" indent="1"/>
    </xf>
    <xf numFmtId="0" fontId="2" fillId="4" borderId="7" xfId="0" applyFont="1" applyFill="1" applyBorder="1" applyAlignment="1">
      <alignment horizontal="center" vertical="center"/>
    </xf>
    <xf numFmtId="0" fontId="2" fillId="4" borderId="7"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0" xfId="0" applyFont="1" applyFill="1" applyAlignment="1">
      <alignment vertical="center" indent="1"/>
    </xf>
    <xf numFmtId="0" fontId="2" fillId="5" borderId="0" xfId="0" applyFont="1" applyFill="1" applyAlignment="1">
      <alignment horizontal="left" vertical="center"/>
    </xf>
    <xf numFmtId="0" fontId="3" fillId="6" borderId="0" xfId="0" applyFont="1" applyFill="1"/>
    <xf numFmtId="0" fontId="4" fillId="0" borderId="0" xfId="0" applyFont="1"/>
    <xf numFmtId="0" fontId="3" fillId="7" borderId="2" xfId="0" applyFont="1" applyFill="1" applyBorder="1"/>
    <xf numFmtId="0" fontId="3" fillId="7" borderId="8" xfId="0" applyFont="1" applyFill="1" applyBorder="1"/>
    <xf numFmtId="0" fontId="3" fillId="7" borderId="8" xfId="0" applyFont="1" applyFill="1" applyBorder="1" applyAlignment="1">
      <alignment wrapText="1"/>
    </xf>
    <xf numFmtId="0" fontId="3" fillId="7" borderId="5" xfId="0" applyFont="1" applyFill="1" applyBorder="1" applyAlignment="1">
      <alignment wrapText="1"/>
    </xf>
    <xf numFmtId="0" fontId="3" fillId="7" borderId="2" xfId="0" applyFont="1" applyFill="1" applyBorder="1" applyAlignment="1">
      <alignment wrapText="1"/>
    </xf>
    <xf numFmtId="0" fontId="3" fillId="7" borderId="1" xfId="0" applyFont="1" applyFill="1" applyBorder="1" applyAlignment="1">
      <alignment wrapText="1"/>
    </xf>
    <xf numFmtId="0" fontId="5" fillId="0" borderId="0" xfId="0" applyFont="1"/>
    <xf numFmtId="14" fontId="5" fillId="0" borderId="0" xfId="0" applyNumberFormat="1" applyFont="1"/>
    <xf numFmtId="0" fontId="5" fillId="0" borderId="0" xfId="0" applyFont="1" applyAlignment="1">
      <alignment wrapText="1"/>
    </xf>
    <xf numFmtId="0" fontId="6" fillId="0" borderId="0" xfId="0" applyFont="1"/>
    <xf numFmtId="0" fontId="7" fillId="0" borderId="0" xfId="0" applyFont="1"/>
    <xf numFmtId="0" fontId="8" fillId="0" borderId="0" xfId="0" applyFont="1"/>
    <xf numFmtId="0" fontId="7" fillId="0" borderId="0" xfId="0" applyFont="1" applyAlignment="1">
      <alignment wrapText="1"/>
    </xf>
    <xf numFmtId="14" fontId="7" fillId="0" borderId="0" xfId="0" applyNumberFormat="1" applyFont="1"/>
    <xf numFmtId="0" fontId="0" fillId="0" borderId="0" xfId="0" applyAlignment="1">
      <alignment wrapText="1"/>
    </xf>
    <xf numFmtId="0" fontId="2" fillId="5" borderId="6" xfId="0" applyFont="1" applyFill="1" applyBorder="1" applyAlignment="1">
      <alignment horizontal="left" vertical="center"/>
    </xf>
    <xf numFmtId="0" fontId="2" fillId="5" borderId="6" xfId="0" applyFont="1" applyFill="1" applyBorder="1" applyAlignment="1">
      <alignment vertical="center"/>
    </xf>
    <xf numFmtId="0" fontId="3" fillId="6" borderId="6"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C5" sqref="C5"/>
    </sheetView>
  </sheetViews>
  <sheetFormatPr defaultRowHeight="15"/>
  <cols>
    <col min="1" max="1" width="9.140625" style="29" bestFit="1" customWidth="1"/>
    <col min="2" max="2" width="11.5703125" bestFit="1" customWidth="1"/>
    <col min="3" max="3" width="45.5703125" customWidth="1"/>
    <col min="4" max="4" width="128.85546875" customWidth="1"/>
    <col min="5" max="5" width="33.28515625" customWidth="1"/>
    <col min="6" max="6" width="22.140625" bestFit="1" customWidth="1"/>
  </cols>
  <sheetData>
    <row r="1" spans="1:6" s="45" customFormat="1" ht="18.75">
      <c r="A1" s="63" t="s">
        <v>0</v>
      </c>
      <c r="B1" s="63"/>
      <c r="C1" s="63"/>
      <c r="D1" s="63"/>
      <c r="E1" s="63"/>
    </row>
    <row r="2" spans="1:6" s="7" customFormat="1" ht="35.25">
      <c r="A2" s="27" t="s">
        <v>1</v>
      </c>
      <c r="B2" s="10" t="s">
        <v>2</v>
      </c>
      <c r="C2" s="8" t="s">
        <v>3</v>
      </c>
      <c r="D2" s="8" t="s">
        <v>4</v>
      </c>
      <c r="E2" s="9" t="s">
        <v>5</v>
      </c>
      <c r="F2" s="9" t="s">
        <v>6</v>
      </c>
    </row>
    <row r="3" spans="1:6" s="1" customFormat="1" ht="45">
      <c r="A3" s="28" t="s">
        <v>7</v>
      </c>
      <c r="B3" s="11">
        <v>46028</v>
      </c>
      <c r="C3" s="2" t="s">
        <v>8</v>
      </c>
      <c r="D3" s="4" t="s">
        <v>9</v>
      </c>
      <c r="E3" s="5">
        <v>0.5</v>
      </c>
      <c r="F3" s="6">
        <v>2.5</v>
      </c>
    </row>
    <row r="4" spans="1:6" s="1" customFormat="1" ht="59.25">
      <c r="A4" s="28" t="s">
        <v>7</v>
      </c>
      <c r="B4" s="11">
        <v>46029</v>
      </c>
      <c r="C4" s="2" t="s">
        <v>10</v>
      </c>
      <c r="D4" s="4" t="s">
        <v>11</v>
      </c>
      <c r="E4" s="5">
        <v>0.5</v>
      </c>
      <c r="F4" s="6">
        <v>2</v>
      </c>
    </row>
    <row r="5" spans="1:6" s="1" customFormat="1" ht="45">
      <c r="A5" s="28" t="s">
        <v>7</v>
      </c>
      <c r="B5" s="11">
        <v>46030</v>
      </c>
      <c r="C5" s="2" t="s">
        <v>12</v>
      </c>
      <c r="D5" s="4" t="s">
        <v>13</v>
      </c>
      <c r="E5" s="5">
        <v>0.5</v>
      </c>
      <c r="F5" s="6">
        <v>2.5</v>
      </c>
    </row>
    <row r="6" spans="1:6" s="1" customFormat="1" ht="30">
      <c r="A6" s="28" t="s">
        <v>7</v>
      </c>
      <c r="B6" s="11">
        <v>46031</v>
      </c>
      <c r="C6" s="3" t="s">
        <v>14</v>
      </c>
      <c r="D6" s="4" t="s">
        <v>15</v>
      </c>
      <c r="E6" s="6" t="s">
        <v>16</v>
      </c>
      <c r="F6" s="6">
        <v>2.5</v>
      </c>
    </row>
    <row r="8" spans="1:6" s="1" customFormat="1">
      <c r="A8" s="28" t="s">
        <v>17</v>
      </c>
      <c r="B8" s="12">
        <v>46035</v>
      </c>
      <c r="C8" s="13" t="s">
        <v>18</v>
      </c>
      <c r="D8" s="13" t="s">
        <v>19</v>
      </c>
      <c r="E8" s="13">
        <v>0.5</v>
      </c>
      <c r="F8" s="14" t="s">
        <v>16</v>
      </c>
    </row>
    <row r="9" spans="1:6" s="1" customFormat="1" ht="30">
      <c r="A9" s="28" t="s">
        <v>17</v>
      </c>
      <c r="B9" s="12">
        <v>46036</v>
      </c>
      <c r="C9" s="13" t="s">
        <v>20</v>
      </c>
      <c r="D9" s="15" t="s">
        <v>21</v>
      </c>
      <c r="E9" s="14" t="s">
        <v>16</v>
      </c>
      <c r="F9" s="13">
        <v>2.5</v>
      </c>
    </row>
    <row r="10" spans="1:6" s="1" customFormat="1">
      <c r="A10" s="28" t="s">
        <v>17</v>
      </c>
      <c r="B10" s="12">
        <v>46037</v>
      </c>
      <c r="C10" s="13" t="s">
        <v>20</v>
      </c>
      <c r="D10" s="13" t="s">
        <v>22</v>
      </c>
      <c r="E10" s="13">
        <v>0.5</v>
      </c>
      <c r="F10" s="13">
        <v>2</v>
      </c>
    </row>
    <row r="11" spans="1:6" s="1" customFormat="1">
      <c r="A11" s="28" t="s">
        <v>17</v>
      </c>
      <c r="B11" s="12">
        <v>46038</v>
      </c>
      <c r="C11" s="13" t="s">
        <v>23</v>
      </c>
      <c r="D11" s="13" t="s">
        <v>24</v>
      </c>
      <c r="E11" s="14" t="s">
        <v>16</v>
      </c>
      <c r="F11" s="13">
        <v>3</v>
      </c>
    </row>
    <row r="13" spans="1:6" s="1" customFormat="1">
      <c r="A13" s="28" t="s">
        <v>25</v>
      </c>
      <c r="B13" s="12">
        <v>46042</v>
      </c>
      <c r="C13" s="13" t="s">
        <v>18</v>
      </c>
      <c r="D13" s="13" t="s">
        <v>26</v>
      </c>
      <c r="E13" s="13">
        <v>0.5</v>
      </c>
      <c r="F13" s="14" t="s">
        <v>16</v>
      </c>
    </row>
    <row r="16" spans="1:6">
      <c r="B16" s="32"/>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97F1-44DC-4BFE-9725-02FFADF0AF51}">
  <dimension ref="A1:G35"/>
  <sheetViews>
    <sheetView topLeftCell="B20" workbookViewId="0">
      <selection activeCell="C22" sqref="C22"/>
    </sheetView>
  </sheetViews>
  <sheetFormatPr defaultRowHeight="15"/>
  <cols>
    <col min="1" max="1" width="17.5703125" customWidth="1"/>
    <col min="2" max="2" width="20" customWidth="1"/>
    <col min="3" max="3" width="55.7109375" customWidth="1"/>
    <col min="4" max="4" width="127.7109375" customWidth="1"/>
    <col min="5" max="5" width="30" customWidth="1"/>
    <col min="6" max="6" width="26.5703125" customWidth="1"/>
  </cols>
  <sheetData>
    <row r="1" spans="1:7" s="36" customFormat="1" ht="18.75">
      <c r="A1" s="44"/>
      <c r="B1" s="64" t="s">
        <v>27</v>
      </c>
      <c r="C1" s="64"/>
      <c r="D1" s="64"/>
      <c r="E1" s="64"/>
      <c r="F1" s="64"/>
    </row>
    <row r="2" spans="1:7" s="38" customFormat="1" ht="35.25">
      <c r="A2" s="37" t="s">
        <v>1</v>
      </c>
      <c r="B2" s="33" t="s">
        <v>2</v>
      </c>
      <c r="C2" s="33" t="s">
        <v>3</v>
      </c>
      <c r="D2" s="33" t="s">
        <v>4</v>
      </c>
      <c r="E2" s="34" t="s">
        <v>5</v>
      </c>
      <c r="F2" s="35" t="s">
        <v>6</v>
      </c>
    </row>
    <row r="3" spans="1:7" ht="59.25">
      <c r="A3" s="30" t="s">
        <v>28</v>
      </c>
      <c r="B3" s="16">
        <v>46055</v>
      </c>
      <c r="C3" s="17" t="s">
        <v>29</v>
      </c>
      <c r="D3" s="17" t="s">
        <v>30</v>
      </c>
      <c r="E3" s="18" t="s">
        <v>16</v>
      </c>
      <c r="F3" s="18">
        <v>3</v>
      </c>
      <c r="G3" s="1">
        <f t="shared" ref="G3:G7" si="0">SUM(E3:F3)</f>
        <v>3</v>
      </c>
    </row>
    <row r="4" spans="1:7" ht="45">
      <c r="A4" s="28" t="s">
        <v>28</v>
      </c>
      <c r="B4" s="19">
        <v>46056</v>
      </c>
      <c r="C4" s="20" t="s">
        <v>31</v>
      </c>
      <c r="D4" s="20" t="s">
        <v>32</v>
      </c>
      <c r="E4" s="14" t="s">
        <v>16</v>
      </c>
      <c r="F4" s="14">
        <v>2.5</v>
      </c>
      <c r="G4" s="1">
        <f t="shared" si="0"/>
        <v>2.5</v>
      </c>
    </row>
    <row r="5" spans="1:7" ht="30">
      <c r="A5" s="28" t="s">
        <v>28</v>
      </c>
      <c r="B5" s="19">
        <v>46057</v>
      </c>
      <c r="C5" s="20" t="s">
        <v>33</v>
      </c>
      <c r="D5" s="20" t="s">
        <v>34</v>
      </c>
      <c r="E5" s="14" t="s">
        <v>16</v>
      </c>
      <c r="F5" s="14">
        <v>2.5</v>
      </c>
      <c r="G5" s="1">
        <f t="shared" si="0"/>
        <v>2.5</v>
      </c>
    </row>
    <row r="6" spans="1:7" ht="59.25">
      <c r="A6" s="28" t="s">
        <v>28</v>
      </c>
      <c r="B6" s="19">
        <v>46057</v>
      </c>
      <c r="C6" s="20" t="s">
        <v>35</v>
      </c>
      <c r="D6" s="20" t="s">
        <v>36</v>
      </c>
      <c r="E6" s="14" t="s">
        <v>16</v>
      </c>
      <c r="F6" s="14">
        <v>3</v>
      </c>
      <c r="G6" s="1">
        <f t="shared" si="0"/>
        <v>3</v>
      </c>
    </row>
    <row r="7" spans="1:7" ht="30">
      <c r="A7" s="28" t="s">
        <v>28</v>
      </c>
      <c r="B7" s="19">
        <v>46058</v>
      </c>
      <c r="C7" s="20" t="s">
        <v>37</v>
      </c>
      <c r="D7" s="20" t="s">
        <v>38</v>
      </c>
      <c r="E7" s="14" t="s">
        <v>16</v>
      </c>
      <c r="F7" s="14">
        <v>2</v>
      </c>
      <c r="G7" s="1">
        <f t="shared" si="0"/>
        <v>2</v>
      </c>
    </row>
    <row r="8" spans="1:7">
      <c r="A8" s="29"/>
    </row>
    <row r="9" spans="1:7">
      <c r="A9" s="29"/>
    </row>
    <row r="10" spans="1:7" s="38" customFormat="1" ht="35.25">
      <c r="A10" s="37" t="s">
        <v>1</v>
      </c>
      <c r="B10" s="39" t="s">
        <v>2</v>
      </c>
      <c r="C10" s="33" t="s">
        <v>3</v>
      </c>
      <c r="D10" s="33" t="s">
        <v>4</v>
      </c>
      <c r="E10" s="34" t="s">
        <v>5</v>
      </c>
      <c r="F10" s="35" t="s">
        <v>6</v>
      </c>
    </row>
    <row r="11" spans="1:7" ht="45">
      <c r="A11" s="30" t="s">
        <v>7</v>
      </c>
      <c r="B11" s="16">
        <v>46062</v>
      </c>
      <c r="C11" s="21" t="s">
        <v>39</v>
      </c>
      <c r="D11" s="17" t="s">
        <v>40</v>
      </c>
      <c r="E11" s="18" t="s">
        <v>16</v>
      </c>
      <c r="F11" s="18">
        <v>3</v>
      </c>
      <c r="G11" s="1">
        <f t="shared" ref="G11:G15" si="1">SUM(E11:F11)</f>
        <v>3</v>
      </c>
    </row>
    <row r="12" spans="1:7" ht="59.25">
      <c r="A12" s="28" t="s">
        <v>7</v>
      </c>
      <c r="B12" s="19">
        <v>46063</v>
      </c>
      <c r="C12" s="20" t="s">
        <v>41</v>
      </c>
      <c r="D12" s="20" t="s">
        <v>42</v>
      </c>
      <c r="E12" s="14" t="s">
        <v>16</v>
      </c>
      <c r="F12" s="14">
        <v>3</v>
      </c>
      <c r="G12" s="1">
        <f t="shared" si="1"/>
        <v>3</v>
      </c>
    </row>
    <row r="13" spans="1:7" ht="45">
      <c r="A13" s="28" t="s">
        <v>7</v>
      </c>
      <c r="B13" s="19">
        <v>46064</v>
      </c>
      <c r="C13" s="20" t="s">
        <v>43</v>
      </c>
      <c r="D13" s="20" t="s">
        <v>44</v>
      </c>
      <c r="E13" s="14" t="s">
        <v>16</v>
      </c>
      <c r="F13" s="14">
        <v>2.5</v>
      </c>
      <c r="G13" s="1">
        <f t="shared" si="1"/>
        <v>2.5</v>
      </c>
    </row>
    <row r="14" spans="1:7" ht="74.25">
      <c r="A14" s="28" t="s">
        <v>7</v>
      </c>
      <c r="B14" s="19">
        <v>46065</v>
      </c>
      <c r="C14" s="20" t="s">
        <v>45</v>
      </c>
      <c r="D14" s="20" t="s">
        <v>46</v>
      </c>
      <c r="E14" s="14" t="s">
        <v>47</v>
      </c>
      <c r="F14" s="14">
        <v>4</v>
      </c>
      <c r="G14" s="1">
        <v>4.5</v>
      </c>
    </row>
    <row r="15" spans="1:7" ht="59.25">
      <c r="A15" s="28" t="s">
        <v>7</v>
      </c>
      <c r="B15" s="19">
        <v>46066</v>
      </c>
      <c r="C15" s="20" t="s">
        <v>48</v>
      </c>
      <c r="D15" s="20" t="s">
        <v>49</v>
      </c>
      <c r="E15" s="14" t="s">
        <v>16</v>
      </c>
      <c r="F15" s="14">
        <v>3</v>
      </c>
      <c r="G15" s="1">
        <f t="shared" si="1"/>
        <v>3</v>
      </c>
    </row>
    <row r="16" spans="1:7">
      <c r="A16" s="29"/>
    </row>
    <row r="17" spans="1:7">
      <c r="A17" s="29"/>
    </row>
    <row r="18" spans="1:7" s="38" customFormat="1" ht="35.25">
      <c r="A18" s="37" t="s">
        <v>1</v>
      </c>
      <c r="B18" s="33" t="s">
        <v>2</v>
      </c>
      <c r="C18" s="33" t="s">
        <v>3</v>
      </c>
      <c r="D18" s="33" t="s">
        <v>4</v>
      </c>
      <c r="E18" s="34" t="s">
        <v>5</v>
      </c>
      <c r="F18" s="35" t="s">
        <v>6</v>
      </c>
    </row>
    <row r="19" spans="1:7" ht="88.5">
      <c r="A19" s="30" t="s">
        <v>17</v>
      </c>
      <c r="B19" s="16">
        <v>46067</v>
      </c>
      <c r="C19" s="17" t="s">
        <v>50</v>
      </c>
      <c r="D19" s="17" t="s">
        <v>51</v>
      </c>
      <c r="E19" s="18" t="s">
        <v>16</v>
      </c>
      <c r="F19" s="18">
        <v>4.5</v>
      </c>
      <c r="G19">
        <v>4.5</v>
      </c>
    </row>
    <row r="20" spans="1:7" ht="88.5">
      <c r="A20" s="28" t="s">
        <v>17</v>
      </c>
      <c r="B20" s="19">
        <v>46068</v>
      </c>
      <c r="C20" s="20" t="s">
        <v>52</v>
      </c>
      <c r="D20" s="20" t="s">
        <v>53</v>
      </c>
      <c r="E20" s="14" t="s">
        <v>16</v>
      </c>
      <c r="F20" s="14">
        <v>5</v>
      </c>
      <c r="G20">
        <v>5</v>
      </c>
    </row>
    <row r="21" spans="1:7" ht="59.25">
      <c r="A21" s="28" t="s">
        <v>17</v>
      </c>
      <c r="B21" s="19">
        <v>46069</v>
      </c>
      <c r="C21" s="20" t="s">
        <v>54</v>
      </c>
      <c r="D21" s="20" t="s">
        <v>55</v>
      </c>
      <c r="E21" s="14" t="s">
        <v>16</v>
      </c>
      <c r="F21" s="14">
        <v>3.5</v>
      </c>
      <c r="G21">
        <v>3.5</v>
      </c>
    </row>
    <row r="22" spans="1:7" ht="88.5">
      <c r="A22" s="28" t="s">
        <v>17</v>
      </c>
      <c r="B22" s="19">
        <v>46070</v>
      </c>
      <c r="C22" s="20" t="s">
        <v>56</v>
      </c>
      <c r="D22" s="20" t="s">
        <v>57</v>
      </c>
      <c r="E22" s="23" t="s">
        <v>58</v>
      </c>
      <c r="F22" s="14">
        <v>6.5</v>
      </c>
      <c r="G22">
        <v>8</v>
      </c>
    </row>
    <row r="23" spans="1:7" ht="30">
      <c r="A23" s="28" t="s">
        <v>17</v>
      </c>
      <c r="B23" s="19">
        <v>46071</v>
      </c>
      <c r="C23" s="22" t="s">
        <v>59</v>
      </c>
      <c r="D23" s="20" t="s">
        <v>60</v>
      </c>
      <c r="E23" s="14" t="s">
        <v>16</v>
      </c>
      <c r="F23" s="14">
        <v>3.5</v>
      </c>
      <c r="G23">
        <v>3.5</v>
      </c>
    </row>
    <row r="24" spans="1:7" ht="88.5">
      <c r="A24" s="28" t="s">
        <v>17</v>
      </c>
      <c r="B24" s="19">
        <v>46072</v>
      </c>
      <c r="C24" s="20" t="s">
        <v>61</v>
      </c>
      <c r="D24" s="20" t="s">
        <v>62</v>
      </c>
      <c r="E24" s="23" t="s">
        <v>63</v>
      </c>
      <c r="F24" s="14">
        <v>4.5</v>
      </c>
      <c r="G24">
        <v>6.5</v>
      </c>
    </row>
    <row r="25" spans="1:7" ht="30">
      <c r="A25" s="28" t="s">
        <v>17</v>
      </c>
      <c r="B25" s="19">
        <v>46073</v>
      </c>
      <c r="C25" s="20" t="s">
        <v>64</v>
      </c>
      <c r="D25" s="20" t="s">
        <v>65</v>
      </c>
      <c r="E25" s="14" t="s">
        <v>16</v>
      </c>
      <c r="F25" s="14">
        <v>3</v>
      </c>
      <c r="G25">
        <v>3</v>
      </c>
    </row>
    <row r="26" spans="1:7" ht="45">
      <c r="A26" s="31" t="s">
        <v>17</v>
      </c>
      <c r="B26" s="24">
        <v>46074</v>
      </c>
      <c r="C26" s="25" t="s">
        <v>66</v>
      </c>
      <c r="D26" s="25" t="s">
        <v>67</v>
      </c>
      <c r="E26" s="26" t="s">
        <v>16</v>
      </c>
      <c r="F26" s="26">
        <v>4.5</v>
      </c>
      <c r="G26">
        <v>4.5</v>
      </c>
    </row>
    <row r="27" spans="1:7" ht="30">
      <c r="A27" s="28" t="s">
        <v>17</v>
      </c>
      <c r="B27" s="12">
        <v>46075</v>
      </c>
      <c r="C27" s="15" t="s">
        <v>68</v>
      </c>
      <c r="D27" s="15" t="s">
        <v>69</v>
      </c>
      <c r="E27" s="13" t="s">
        <v>70</v>
      </c>
      <c r="F27" s="13">
        <v>2.5</v>
      </c>
      <c r="G27">
        <v>2.5</v>
      </c>
    </row>
    <row r="28" spans="1:7">
      <c r="A28" s="29"/>
    </row>
    <row r="29" spans="1:7">
      <c r="A29" s="29"/>
    </row>
    <row r="30" spans="1:7" s="38" customFormat="1" ht="35.25">
      <c r="A30" s="40" t="s">
        <v>1</v>
      </c>
      <c r="B30" s="41" t="s">
        <v>2</v>
      </c>
      <c r="C30" s="41" t="s">
        <v>3</v>
      </c>
      <c r="D30" s="41" t="s">
        <v>4</v>
      </c>
      <c r="E30" s="42" t="s">
        <v>5</v>
      </c>
      <c r="F30" s="43" t="s">
        <v>6</v>
      </c>
    </row>
    <row r="31" spans="1:7" s="1" customFormat="1" ht="74.25">
      <c r="A31" s="28" t="s">
        <v>25</v>
      </c>
      <c r="B31" s="12">
        <v>46077</v>
      </c>
      <c r="C31" s="15" t="s">
        <v>71</v>
      </c>
      <c r="D31" s="15" t="s">
        <v>72</v>
      </c>
      <c r="E31" s="13">
        <v>0.5</v>
      </c>
      <c r="F31" s="13">
        <v>3</v>
      </c>
      <c r="G31" s="1">
        <f>SUM(E31:F31)</f>
        <v>3.5</v>
      </c>
    </row>
    <row r="32" spans="1:7" s="1" customFormat="1" ht="30">
      <c r="A32" s="28" t="s">
        <v>25</v>
      </c>
      <c r="B32" s="12">
        <v>46078</v>
      </c>
      <c r="C32" s="15" t="s">
        <v>73</v>
      </c>
      <c r="D32" s="15" t="s">
        <v>74</v>
      </c>
      <c r="E32" s="13"/>
      <c r="F32" s="13">
        <v>2.5</v>
      </c>
      <c r="G32" s="1">
        <f t="shared" ref="G32:G35" si="2">SUM(E32:F32)</f>
        <v>2.5</v>
      </c>
    </row>
    <row r="33" spans="1:7" s="1" customFormat="1" ht="74.25">
      <c r="A33" s="28" t="s">
        <v>25</v>
      </c>
      <c r="B33" s="12">
        <v>46079</v>
      </c>
      <c r="C33" s="15" t="s">
        <v>75</v>
      </c>
      <c r="D33" s="15" t="s">
        <v>76</v>
      </c>
      <c r="E33" s="13"/>
      <c r="F33" s="13">
        <v>3.5</v>
      </c>
      <c r="G33" s="1">
        <f t="shared" si="2"/>
        <v>3.5</v>
      </c>
    </row>
    <row r="34" spans="1:7" s="1" customFormat="1" ht="103.5">
      <c r="A34" s="28" t="s">
        <v>25</v>
      </c>
      <c r="B34" s="12">
        <v>46080</v>
      </c>
      <c r="C34" s="13" t="s">
        <v>77</v>
      </c>
      <c r="D34" s="15" t="s">
        <v>78</v>
      </c>
      <c r="E34" s="13"/>
      <c r="F34" s="13">
        <v>4.5</v>
      </c>
      <c r="G34" s="1">
        <f t="shared" si="2"/>
        <v>4.5</v>
      </c>
    </row>
    <row r="35" spans="1:7" s="1" customFormat="1" ht="45">
      <c r="A35" s="28" t="s">
        <v>25</v>
      </c>
      <c r="B35" s="12">
        <v>46081</v>
      </c>
      <c r="C35" s="13" t="s">
        <v>79</v>
      </c>
      <c r="D35" s="15" t="s">
        <v>80</v>
      </c>
      <c r="E35" s="13"/>
      <c r="F35" s="13">
        <v>3</v>
      </c>
      <c r="G35" s="1">
        <f t="shared" si="2"/>
        <v>3</v>
      </c>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B998-237F-42FA-AEB9-7424775C37A2}">
  <dimension ref="A1:F31"/>
  <sheetViews>
    <sheetView topLeftCell="A12" workbookViewId="0">
      <selection activeCell="C24" sqref="C24"/>
    </sheetView>
  </sheetViews>
  <sheetFormatPr defaultRowHeight="15"/>
  <cols>
    <col min="1" max="1" width="13.85546875" customWidth="1"/>
    <col min="2" max="2" width="17.140625" customWidth="1"/>
    <col min="3" max="3" width="90.85546875" customWidth="1"/>
    <col min="4" max="4" width="126.7109375" customWidth="1"/>
    <col min="5" max="5" width="25" customWidth="1"/>
    <col min="6" max="6" width="24.85546875" customWidth="1"/>
  </cols>
  <sheetData>
    <row r="1" spans="1:6" ht="18.75">
      <c r="A1" s="46" t="s">
        <v>81</v>
      </c>
      <c r="B1" s="65" t="s">
        <v>82</v>
      </c>
      <c r="C1" s="65"/>
      <c r="D1" s="65"/>
      <c r="E1" s="65"/>
      <c r="F1" s="65"/>
    </row>
    <row r="2" spans="1:6" ht="35.25">
      <c r="A2" s="48" t="s">
        <v>1</v>
      </c>
      <c r="B2" s="49" t="s">
        <v>2</v>
      </c>
      <c r="C2" s="49" t="s">
        <v>3</v>
      </c>
      <c r="D2" s="49" t="s">
        <v>4</v>
      </c>
      <c r="E2" s="50" t="s">
        <v>5</v>
      </c>
      <c r="F2" s="51" t="s">
        <v>6</v>
      </c>
    </row>
    <row r="3" spans="1:6" s="57" customFormat="1" ht="45">
      <c r="A3" s="54" t="s">
        <v>28</v>
      </c>
      <c r="B3" s="55">
        <v>46056</v>
      </c>
      <c r="C3" s="54" t="s">
        <v>83</v>
      </c>
      <c r="D3" s="56" t="s">
        <v>84</v>
      </c>
      <c r="E3" s="54">
        <v>1</v>
      </c>
      <c r="F3" s="54">
        <v>3.5</v>
      </c>
    </row>
    <row r="4" spans="1:6" s="57" customFormat="1" ht="74.25">
      <c r="A4" s="54" t="s">
        <v>28</v>
      </c>
      <c r="B4" s="55">
        <v>46084</v>
      </c>
      <c r="C4" s="56" t="s">
        <v>85</v>
      </c>
      <c r="D4" s="56" t="s">
        <v>86</v>
      </c>
      <c r="E4" s="54">
        <v>1.5</v>
      </c>
      <c r="F4" s="54">
        <v>3.5</v>
      </c>
    </row>
    <row r="5" spans="1:6" s="57" customFormat="1" ht="88.5">
      <c r="A5" s="54" t="s">
        <v>28</v>
      </c>
      <c r="B5" s="55">
        <v>46115</v>
      </c>
      <c r="C5" s="56" t="s">
        <v>87</v>
      </c>
      <c r="D5" s="56" t="s">
        <v>88</v>
      </c>
      <c r="E5" s="54">
        <v>1</v>
      </c>
      <c r="F5" s="54">
        <v>3.5</v>
      </c>
    </row>
    <row r="6" spans="1:6" s="57" customFormat="1" ht="45">
      <c r="A6" s="54" t="s">
        <v>28</v>
      </c>
      <c r="B6" s="55">
        <v>46145</v>
      </c>
      <c r="C6" s="54" t="s">
        <v>89</v>
      </c>
      <c r="D6" s="56" t="s">
        <v>90</v>
      </c>
      <c r="E6" s="54">
        <v>1.5</v>
      </c>
      <c r="F6" s="54">
        <v>3.5</v>
      </c>
    </row>
    <row r="7" spans="1:6" s="57" customFormat="1" ht="59.25">
      <c r="A7" s="54" t="s">
        <v>28</v>
      </c>
      <c r="B7" s="55">
        <v>46176</v>
      </c>
      <c r="C7" s="54" t="s">
        <v>91</v>
      </c>
      <c r="D7" s="56" t="s">
        <v>92</v>
      </c>
      <c r="E7" s="54"/>
      <c r="F7" s="54">
        <v>2.5</v>
      </c>
    </row>
    <row r="8" spans="1:6">
      <c r="A8" s="47"/>
      <c r="B8" s="47"/>
      <c r="C8" s="47"/>
      <c r="D8" s="47"/>
      <c r="E8" s="47"/>
      <c r="F8" s="47"/>
    </row>
    <row r="9" spans="1:6" ht="35.25">
      <c r="A9" s="48" t="s">
        <v>1</v>
      </c>
      <c r="B9" s="48" t="s">
        <v>2</v>
      </c>
      <c r="C9" s="48" t="s">
        <v>3</v>
      </c>
      <c r="D9" s="48" t="s">
        <v>4</v>
      </c>
      <c r="E9" s="52" t="s">
        <v>5</v>
      </c>
      <c r="F9" s="53" t="s">
        <v>6</v>
      </c>
    </row>
    <row r="10" spans="1:6" s="1" customFormat="1">
      <c r="A10" s="58" t="s">
        <v>7</v>
      </c>
      <c r="B10" s="61">
        <v>46298</v>
      </c>
      <c r="C10" s="58" t="s">
        <v>93</v>
      </c>
      <c r="D10" s="58"/>
      <c r="E10" s="58"/>
      <c r="F10" s="58"/>
    </row>
    <row r="11" spans="1:6">
      <c r="A11" s="47"/>
      <c r="B11" s="47"/>
      <c r="C11" s="47"/>
      <c r="D11" s="47"/>
      <c r="E11" s="47"/>
      <c r="F11" s="47"/>
    </row>
    <row r="12" spans="1:6" ht="35.25">
      <c r="A12" s="48" t="s">
        <v>1</v>
      </c>
      <c r="B12" s="48" t="s">
        <v>2</v>
      </c>
      <c r="C12" s="48" t="s">
        <v>3</v>
      </c>
      <c r="D12" s="48" t="s">
        <v>4</v>
      </c>
      <c r="E12" s="52" t="s">
        <v>5</v>
      </c>
      <c r="F12" s="53" t="s">
        <v>6</v>
      </c>
    </row>
    <row r="13" spans="1:6" s="1" customFormat="1">
      <c r="A13" s="58" t="s">
        <v>17</v>
      </c>
      <c r="B13" s="58" t="s">
        <v>94</v>
      </c>
      <c r="C13" s="58" t="s">
        <v>95</v>
      </c>
      <c r="D13" s="58"/>
      <c r="E13" s="58"/>
      <c r="F13" s="58"/>
    </row>
    <row r="14" spans="1:6" s="1" customFormat="1">
      <c r="A14" s="58" t="s">
        <v>17</v>
      </c>
      <c r="B14" s="58" t="s">
        <v>96</v>
      </c>
      <c r="C14" s="58" t="s">
        <v>97</v>
      </c>
      <c r="D14" s="58"/>
      <c r="E14" s="58"/>
      <c r="F14" s="58">
        <v>1.5</v>
      </c>
    </row>
    <row r="15" spans="1:6" s="1" customFormat="1">
      <c r="A15" s="58" t="s">
        <v>17</v>
      </c>
      <c r="B15" s="58" t="s">
        <v>98</v>
      </c>
      <c r="C15" s="58" t="s">
        <v>99</v>
      </c>
      <c r="D15" s="58"/>
      <c r="E15" s="58">
        <v>0.5</v>
      </c>
      <c r="F15" s="58"/>
    </row>
    <row r="16" spans="1:6" s="1" customFormat="1">
      <c r="A16" s="59" t="s">
        <v>17</v>
      </c>
      <c r="B16" s="58" t="s">
        <v>100</v>
      </c>
      <c r="C16" s="58" t="s">
        <v>101</v>
      </c>
      <c r="D16" s="58"/>
      <c r="E16" s="58"/>
      <c r="F16" s="58">
        <v>1.5</v>
      </c>
    </row>
    <row r="17" spans="1:6" s="1" customFormat="1" ht="88.5">
      <c r="A17" s="59" t="s">
        <v>17</v>
      </c>
      <c r="B17" s="58" t="s">
        <v>102</v>
      </c>
      <c r="C17" s="58" t="s">
        <v>103</v>
      </c>
      <c r="D17" s="60" t="s">
        <v>104</v>
      </c>
      <c r="E17" s="58"/>
      <c r="F17" s="58">
        <v>3</v>
      </c>
    </row>
    <row r="18" spans="1:6" s="1" customFormat="1" ht="74.25">
      <c r="A18" s="59"/>
      <c r="B18" s="58" t="s">
        <v>105</v>
      </c>
      <c r="C18" s="59" t="s">
        <v>106</v>
      </c>
      <c r="D18" s="60" t="s">
        <v>107</v>
      </c>
      <c r="E18" s="58"/>
      <c r="F18" s="58">
        <v>3.5</v>
      </c>
    </row>
    <row r="19" spans="1:6">
      <c r="A19" s="47"/>
      <c r="B19" s="47"/>
      <c r="C19" s="47"/>
      <c r="D19" s="47"/>
      <c r="E19" s="47"/>
      <c r="F19" s="47"/>
    </row>
    <row r="20" spans="1:6" ht="35.25">
      <c r="A20" s="48" t="s">
        <v>1</v>
      </c>
      <c r="B20" s="48" t="s">
        <v>2</v>
      </c>
      <c r="C20" s="48" t="s">
        <v>3</v>
      </c>
      <c r="D20" s="48" t="s">
        <v>4</v>
      </c>
      <c r="E20" s="52" t="s">
        <v>5</v>
      </c>
      <c r="F20" s="53" t="s">
        <v>6</v>
      </c>
    </row>
    <row r="21" spans="1:6" s="1" customFormat="1" ht="88.5">
      <c r="A21" s="58" t="s">
        <v>25</v>
      </c>
      <c r="B21" s="58" t="s">
        <v>108</v>
      </c>
      <c r="C21" s="58" t="s">
        <v>109</v>
      </c>
      <c r="D21" s="60" t="s">
        <v>110</v>
      </c>
      <c r="E21" s="58"/>
      <c r="F21" s="58">
        <v>3.5</v>
      </c>
    </row>
    <row r="22" spans="1:6" s="1" customFormat="1" ht="59.25">
      <c r="A22" s="58" t="s">
        <v>25</v>
      </c>
      <c r="B22" s="58" t="s">
        <v>111</v>
      </c>
      <c r="C22" s="58" t="s">
        <v>112</v>
      </c>
      <c r="D22" s="60" t="s">
        <v>113</v>
      </c>
      <c r="E22" s="58">
        <v>0.5</v>
      </c>
      <c r="F22" s="58">
        <v>3.5</v>
      </c>
    </row>
    <row r="23" spans="1:6" s="1" customFormat="1" ht="81">
      <c r="A23" s="58" t="s">
        <v>25</v>
      </c>
      <c r="B23" s="58" t="s">
        <v>114</v>
      </c>
      <c r="C23" s="58" t="s">
        <v>115</v>
      </c>
      <c r="D23" s="60" t="s">
        <v>116</v>
      </c>
      <c r="E23" s="58"/>
      <c r="F23" s="58">
        <v>3</v>
      </c>
    </row>
    <row r="24" spans="1:6" s="1" customFormat="1" ht="96.75">
      <c r="A24" s="59" t="s">
        <v>25</v>
      </c>
      <c r="B24" s="58" t="s">
        <v>117</v>
      </c>
      <c r="C24" s="58" t="s">
        <v>118</v>
      </c>
      <c r="D24" s="60" t="s">
        <v>119</v>
      </c>
      <c r="E24" s="58"/>
      <c r="F24" s="58">
        <v>3.5</v>
      </c>
    </row>
    <row r="25" spans="1:6" s="1" customFormat="1" ht="74.25">
      <c r="A25" s="59" t="s">
        <v>25</v>
      </c>
      <c r="B25" s="58" t="s">
        <v>120</v>
      </c>
      <c r="C25" s="58" t="s">
        <v>121</v>
      </c>
      <c r="D25" s="60" t="s">
        <v>122</v>
      </c>
      <c r="E25" s="58"/>
      <c r="F25" s="58">
        <v>3.5</v>
      </c>
    </row>
    <row r="26" spans="1:6" s="1" customFormat="1" ht="88.5">
      <c r="A26" s="58" t="s">
        <v>25</v>
      </c>
      <c r="B26" s="58" t="s">
        <v>123</v>
      </c>
      <c r="C26" s="58" t="s">
        <v>124</v>
      </c>
      <c r="D26" s="60" t="s">
        <v>125</v>
      </c>
      <c r="E26" s="58"/>
      <c r="F26" s="58">
        <v>4.5</v>
      </c>
    </row>
    <row r="27" spans="1:6" s="1" customFormat="1" ht="59.25">
      <c r="A27" s="58"/>
      <c r="B27" s="58" t="s">
        <v>126</v>
      </c>
      <c r="C27" s="58" t="s">
        <v>127</v>
      </c>
      <c r="D27" s="60" t="s">
        <v>128</v>
      </c>
      <c r="E27" s="58"/>
      <c r="F27" s="58">
        <v>3.5</v>
      </c>
    </row>
    <row r="28" spans="1:6">
      <c r="A28" s="47"/>
      <c r="B28" s="47"/>
      <c r="C28" s="47"/>
      <c r="D28" s="47"/>
      <c r="E28" s="47"/>
      <c r="F28" s="47"/>
    </row>
    <row r="29" spans="1:6" ht="35.25">
      <c r="A29" s="48" t="s">
        <v>1</v>
      </c>
      <c r="B29" s="48" t="s">
        <v>2</v>
      </c>
      <c r="C29" s="48" t="s">
        <v>3</v>
      </c>
      <c r="D29" s="48" t="s">
        <v>4</v>
      </c>
      <c r="E29" s="52" t="s">
        <v>5</v>
      </c>
      <c r="F29" s="53" t="s">
        <v>6</v>
      </c>
    </row>
    <row r="30" spans="1:6" s="1" customFormat="1" ht="132.75">
      <c r="A30" s="58" t="s">
        <v>129</v>
      </c>
      <c r="B30" s="58" t="s">
        <v>130</v>
      </c>
      <c r="C30" s="60" t="s">
        <v>131</v>
      </c>
      <c r="D30" s="60" t="s">
        <v>132</v>
      </c>
      <c r="E30" s="58">
        <v>1.5</v>
      </c>
      <c r="F30" s="58">
        <v>4.5</v>
      </c>
    </row>
    <row r="31" spans="1:6" s="1" customFormat="1" ht="59.25">
      <c r="A31" s="58" t="s">
        <v>129</v>
      </c>
      <c r="B31" s="58" t="s">
        <v>133</v>
      </c>
      <c r="C31" s="58" t="s">
        <v>134</v>
      </c>
      <c r="D31" s="60" t="s">
        <v>135</v>
      </c>
      <c r="E31" s="58">
        <v>0.5</v>
      </c>
      <c r="F31" s="58">
        <v>3.5</v>
      </c>
    </row>
  </sheetData>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EDE1-AE4D-43B4-8737-3D6F1CCCB45E}">
  <dimension ref="A1:F30"/>
  <sheetViews>
    <sheetView topLeftCell="A14" workbookViewId="0"/>
  </sheetViews>
  <sheetFormatPr defaultRowHeight="15"/>
  <cols>
    <col min="1" max="1" width="12.28515625" customWidth="1"/>
    <col min="2" max="2" width="16.28515625" customWidth="1"/>
    <col min="3" max="3" width="76.5703125" customWidth="1"/>
    <col min="4" max="4" width="135.85546875" customWidth="1"/>
    <col min="5" max="5" width="29.28515625" customWidth="1"/>
    <col min="6" max="6" width="26.85546875" customWidth="1"/>
  </cols>
  <sheetData>
    <row r="1" spans="1:6" ht="18.75">
      <c r="A1" s="46" t="s">
        <v>81</v>
      </c>
      <c r="B1" s="65" t="s">
        <v>136</v>
      </c>
      <c r="C1" s="65"/>
      <c r="D1" s="65"/>
      <c r="E1" s="65"/>
      <c r="F1" s="65"/>
    </row>
    <row r="3" spans="1:6" ht="37.5">
      <c r="A3" s="48" t="s">
        <v>1</v>
      </c>
      <c r="B3" s="49" t="s">
        <v>2</v>
      </c>
      <c r="C3" s="49" t="s">
        <v>3</v>
      </c>
      <c r="D3" s="49" t="s">
        <v>4</v>
      </c>
      <c r="E3" s="50" t="s">
        <v>5</v>
      </c>
      <c r="F3" s="51" t="s">
        <v>6</v>
      </c>
    </row>
    <row r="4" spans="1:6" ht="30.75">
      <c r="A4" t="s">
        <v>28</v>
      </c>
      <c r="B4" s="32">
        <v>46026</v>
      </c>
      <c r="C4" s="62" t="s">
        <v>137</v>
      </c>
      <c r="D4" s="62" t="s">
        <v>138</v>
      </c>
      <c r="F4">
        <v>3</v>
      </c>
    </row>
    <row r="5" spans="1:6" ht="45.75">
      <c r="B5" s="32">
        <v>46057</v>
      </c>
      <c r="C5" s="62" t="s">
        <v>139</v>
      </c>
      <c r="D5" s="62" t="s">
        <v>140</v>
      </c>
      <c r="E5">
        <v>0.5</v>
      </c>
      <c r="F5">
        <v>2</v>
      </c>
    </row>
    <row r="6" spans="1:6">
      <c r="B6" s="32">
        <v>46085</v>
      </c>
      <c r="C6" t="s">
        <v>141</v>
      </c>
      <c r="D6" t="s">
        <v>142</v>
      </c>
      <c r="F6">
        <v>3.5</v>
      </c>
    </row>
    <row r="7" spans="1:6">
      <c r="B7" s="32">
        <v>46116</v>
      </c>
      <c r="C7" t="s">
        <v>143</v>
      </c>
      <c r="D7" t="s">
        <v>144</v>
      </c>
      <c r="F7">
        <v>3.5</v>
      </c>
    </row>
    <row r="8" spans="1:6">
      <c r="B8" s="32"/>
    </row>
    <row r="9" spans="1:6">
      <c r="B9" s="32"/>
    </row>
    <row r="10" spans="1:6" ht="37.5">
      <c r="A10" s="48" t="s">
        <v>1</v>
      </c>
      <c r="B10" s="49" t="s">
        <v>2</v>
      </c>
      <c r="C10" s="49" t="s">
        <v>3</v>
      </c>
      <c r="D10" s="49" t="s">
        <v>4</v>
      </c>
      <c r="E10" s="50" t="s">
        <v>5</v>
      </c>
      <c r="F10" s="51" t="s">
        <v>6</v>
      </c>
    </row>
    <row r="11" spans="1:6">
      <c r="A11" t="s">
        <v>7</v>
      </c>
      <c r="B11" s="32">
        <v>46207</v>
      </c>
      <c r="C11" t="s">
        <v>143</v>
      </c>
      <c r="D11" t="s">
        <v>145</v>
      </c>
      <c r="F11">
        <v>2.5</v>
      </c>
    </row>
    <row r="14" spans="1:6" ht="37.5">
      <c r="A14" s="48" t="s">
        <v>1</v>
      </c>
      <c r="B14" s="49" t="s">
        <v>2</v>
      </c>
      <c r="C14" s="49" t="s">
        <v>3</v>
      </c>
      <c r="D14" s="49" t="s">
        <v>4</v>
      </c>
      <c r="E14" s="50" t="s">
        <v>5</v>
      </c>
      <c r="F14" s="51" t="s">
        <v>6</v>
      </c>
    </row>
    <row r="15" spans="1:6">
      <c r="A15" t="s">
        <v>17</v>
      </c>
      <c r="B15" t="s">
        <v>146</v>
      </c>
      <c r="C15" t="s">
        <v>147</v>
      </c>
      <c r="D15" t="s">
        <v>148</v>
      </c>
      <c r="E15">
        <v>0.5</v>
      </c>
    </row>
    <row r="16" spans="1:6">
      <c r="B16" t="s">
        <v>149</v>
      </c>
      <c r="C16" t="s">
        <v>150</v>
      </c>
      <c r="D16" t="s">
        <v>151</v>
      </c>
      <c r="E16">
        <v>0.5</v>
      </c>
    </row>
    <row r="17" spans="1:6">
      <c r="B17" t="s">
        <v>152</v>
      </c>
      <c r="C17" t="s">
        <v>153</v>
      </c>
      <c r="E17">
        <v>0.5</v>
      </c>
    </row>
    <row r="18" spans="1:6" ht="45.75">
      <c r="B18" t="s">
        <v>154</v>
      </c>
      <c r="C18" s="62" t="s">
        <v>155</v>
      </c>
      <c r="D18" s="62" t="s">
        <v>156</v>
      </c>
      <c r="F18">
        <v>3</v>
      </c>
    </row>
    <row r="19" spans="1:6" ht="60.75">
      <c r="B19" t="s">
        <v>157</v>
      </c>
      <c r="C19" s="62" t="s">
        <v>158</v>
      </c>
      <c r="D19" s="62" t="s">
        <v>159</v>
      </c>
      <c r="F19">
        <v>4</v>
      </c>
    </row>
    <row r="20" spans="1:6" ht="60.75">
      <c r="B20" t="s">
        <v>160</v>
      </c>
      <c r="C20" s="62" t="s">
        <v>161</v>
      </c>
      <c r="D20" s="62" t="s">
        <v>162</v>
      </c>
      <c r="F20">
        <v>3.5</v>
      </c>
    </row>
    <row r="22" spans="1:6" ht="37.5">
      <c r="A22" s="48" t="s">
        <v>1</v>
      </c>
      <c r="B22" s="49" t="s">
        <v>2</v>
      </c>
      <c r="C22" s="49" t="s">
        <v>3</v>
      </c>
      <c r="D22" s="49" t="s">
        <v>4</v>
      </c>
      <c r="E22" s="50" t="s">
        <v>5</v>
      </c>
      <c r="F22" s="51" t="s">
        <v>6</v>
      </c>
    </row>
    <row r="23" spans="1:6" ht="45.75">
      <c r="A23" t="s">
        <v>25</v>
      </c>
      <c r="B23" t="s">
        <v>163</v>
      </c>
      <c r="C23" s="62" t="s">
        <v>164</v>
      </c>
      <c r="D23" s="62" t="s">
        <v>165</v>
      </c>
      <c r="F23">
        <v>3</v>
      </c>
    </row>
    <row r="24" spans="1:6">
      <c r="B24" t="s">
        <v>166</v>
      </c>
      <c r="C24" t="s">
        <v>153</v>
      </c>
    </row>
    <row r="26" spans="1:6" ht="37.5">
      <c r="A26" s="48" t="s">
        <v>1</v>
      </c>
      <c r="B26" s="49" t="s">
        <v>2</v>
      </c>
      <c r="C26" s="49" t="s">
        <v>3</v>
      </c>
      <c r="D26" s="49" t="s">
        <v>4</v>
      </c>
      <c r="E26" s="50" t="s">
        <v>5</v>
      </c>
      <c r="F26" s="51" t="s">
        <v>6</v>
      </c>
    </row>
    <row r="27" spans="1:6">
      <c r="A27" t="s">
        <v>129</v>
      </c>
    </row>
    <row r="28" spans="1:6">
      <c r="B28" t="s">
        <v>167</v>
      </c>
      <c r="C28" t="s">
        <v>168</v>
      </c>
      <c r="D28" t="s">
        <v>169</v>
      </c>
      <c r="F28">
        <v>0.5</v>
      </c>
    </row>
    <row r="29" spans="1:6">
      <c r="B29" t="s">
        <v>170</v>
      </c>
      <c r="C29" t="s">
        <v>153</v>
      </c>
      <c r="E29">
        <v>0.5</v>
      </c>
    </row>
    <row r="30" spans="1:6">
      <c r="B30" t="s">
        <v>171</v>
      </c>
      <c r="C30" t="s">
        <v>153</v>
      </c>
    </row>
  </sheetData>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82C1-073A-4C90-98D4-00EE643D26B3}">
  <dimension ref="A1:F30"/>
  <sheetViews>
    <sheetView tabSelected="1" topLeftCell="C25" workbookViewId="0">
      <selection activeCell="E35" sqref="E35"/>
    </sheetView>
  </sheetViews>
  <sheetFormatPr defaultRowHeight="15"/>
  <cols>
    <col min="1" max="1" width="11.5703125" customWidth="1"/>
    <col min="2" max="2" width="12.7109375" customWidth="1"/>
    <col min="3" max="3" width="56.5703125" customWidth="1"/>
    <col min="4" max="4" width="89.85546875" customWidth="1"/>
    <col min="5" max="5" width="23.140625" customWidth="1"/>
    <col min="6" max="6" width="33.140625" customWidth="1"/>
  </cols>
  <sheetData>
    <row r="1" spans="1:6" ht="18.75">
      <c r="A1" s="46" t="s">
        <v>81</v>
      </c>
      <c r="B1" s="65" t="s">
        <v>172</v>
      </c>
      <c r="C1" s="65"/>
      <c r="D1" s="65"/>
      <c r="E1" s="65"/>
      <c r="F1" s="65"/>
    </row>
    <row r="3" spans="1:6" ht="37.5">
      <c r="A3" s="48" t="s">
        <v>1</v>
      </c>
      <c r="B3" s="49" t="s">
        <v>2</v>
      </c>
      <c r="C3" s="49" t="s">
        <v>3</v>
      </c>
      <c r="D3" s="49" t="s">
        <v>4</v>
      </c>
      <c r="E3" s="50" t="s">
        <v>5</v>
      </c>
      <c r="F3" s="51" t="s">
        <v>6</v>
      </c>
    </row>
    <row r="4" spans="1:6">
      <c r="A4" t="s">
        <v>28</v>
      </c>
      <c r="B4" s="32">
        <v>46027</v>
      </c>
      <c r="C4" t="s">
        <v>173</v>
      </c>
    </row>
    <row r="8" spans="1:6" ht="37.5">
      <c r="A8" s="48" t="s">
        <v>1</v>
      </c>
      <c r="B8" s="49" t="s">
        <v>2</v>
      </c>
      <c r="C8" s="49" t="s">
        <v>3</v>
      </c>
      <c r="D8" s="49" t="s">
        <v>4</v>
      </c>
      <c r="E8" s="50" t="s">
        <v>5</v>
      </c>
      <c r="F8" s="51" t="s">
        <v>6</v>
      </c>
    </row>
    <row r="9" spans="1:6" ht="30.75">
      <c r="A9" t="s">
        <v>7</v>
      </c>
      <c r="B9" s="32">
        <v>46147</v>
      </c>
      <c r="C9" s="62" t="s">
        <v>174</v>
      </c>
      <c r="E9">
        <v>1</v>
      </c>
    </row>
    <row r="10" spans="1:6" ht="30.75">
      <c r="B10" s="32">
        <v>46178</v>
      </c>
      <c r="C10" s="62" t="s">
        <v>175</v>
      </c>
      <c r="D10" t="s">
        <v>176</v>
      </c>
    </row>
    <row r="11" spans="1:6" ht="30.75">
      <c r="B11" s="32">
        <v>46208</v>
      </c>
      <c r="C11" s="62" t="s">
        <v>175</v>
      </c>
      <c r="D11" t="s">
        <v>177</v>
      </c>
    </row>
    <row r="12" spans="1:6" ht="30.75">
      <c r="B12" s="32">
        <v>46239</v>
      </c>
      <c r="C12" s="62" t="s">
        <v>175</v>
      </c>
      <c r="D12" t="s">
        <v>178</v>
      </c>
    </row>
    <row r="13" spans="1:6" ht="45.75">
      <c r="B13" s="32">
        <v>46270</v>
      </c>
      <c r="C13" s="62" t="s">
        <v>179</v>
      </c>
    </row>
    <row r="14" spans="1:6" ht="45.75">
      <c r="B14" s="32">
        <v>45939</v>
      </c>
      <c r="C14" s="62" t="s">
        <v>180</v>
      </c>
    </row>
    <row r="16" spans="1:6" ht="37.5">
      <c r="A16" s="48" t="s">
        <v>1</v>
      </c>
      <c r="B16" s="49" t="s">
        <v>2</v>
      </c>
      <c r="C16" s="49" t="s">
        <v>3</v>
      </c>
      <c r="D16" s="49" t="s">
        <v>4</v>
      </c>
      <c r="E16" s="50" t="s">
        <v>5</v>
      </c>
      <c r="F16" s="51" t="s">
        <v>6</v>
      </c>
    </row>
    <row r="17" spans="1:6">
      <c r="A17" t="s">
        <v>17</v>
      </c>
      <c r="B17" s="32">
        <v>46331</v>
      </c>
      <c r="C17" s="62" t="s">
        <v>181</v>
      </c>
    </row>
    <row r="18" spans="1:6" ht="45.75">
      <c r="B18" s="32">
        <v>46361</v>
      </c>
      <c r="C18" s="62" t="s">
        <v>182</v>
      </c>
    </row>
    <row r="19" spans="1:6" ht="30.75">
      <c r="B19" t="s">
        <v>183</v>
      </c>
      <c r="C19" s="62" t="s">
        <v>184</v>
      </c>
    </row>
    <row r="20" spans="1:6" ht="45.75">
      <c r="B20" t="s">
        <v>185</v>
      </c>
      <c r="C20" s="62" t="s">
        <v>186</v>
      </c>
      <c r="E20">
        <v>0.5</v>
      </c>
    </row>
    <row r="21" spans="1:6" ht="30.75">
      <c r="B21" t="s">
        <v>187</v>
      </c>
      <c r="C21" s="62" t="s">
        <v>188</v>
      </c>
    </row>
    <row r="22" spans="1:6">
      <c r="B22" t="s">
        <v>189</v>
      </c>
      <c r="C22" t="s">
        <v>190</v>
      </c>
    </row>
    <row r="24" spans="1:6" ht="37.5">
      <c r="A24" s="48" t="s">
        <v>1</v>
      </c>
      <c r="B24" s="49" t="s">
        <v>2</v>
      </c>
      <c r="C24" s="49" t="s">
        <v>3</v>
      </c>
      <c r="D24" s="49" t="s">
        <v>4</v>
      </c>
      <c r="E24" s="50" t="s">
        <v>5</v>
      </c>
      <c r="F24" s="51" t="s">
        <v>6</v>
      </c>
    </row>
    <row r="25" spans="1:6">
      <c r="A25" t="s">
        <v>25</v>
      </c>
      <c r="B25" t="s">
        <v>191</v>
      </c>
      <c r="C25" t="s">
        <v>192</v>
      </c>
      <c r="D25" t="s">
        <v>193</v>
      </c>
      <c r="F25">
        <v>3.5</v>
      </c>
    </row>
    <row r="26" spans="1:6" ht="30.75">
      <c r="B26" t="s">
        <v>194</v>
      </c>
      <c r="C26" s="62" t="s">
        <v>195</v>
      </c>
      <c r="D26" s="62" t="s">
        <v>196</v>
      </c>
      <c r="E26">
        <v>1</v>
      </c>
      <c r="F26">
        <v>2.5</v>
      </c>
    </row>
    <row r="27" spans="1:6" ht="45.75">
      <c r="B27" t="s">
        <v>197</v>
      </c>
      <c r="C27" s="62" t="s">
        <v>198</v>
      </c>
      <c r="E27">
        <v>0.5</v>
      </c>
      <c r="F27">
        <v>3.5</v>
      </c>
    </row>
    <row r="28" spans="1:6" ht="45.75">
      <c r="B28" t="s">
        <v>199</v>
      </c>
      <c r="C28" s="62" t="s">
        <v>200</v>
      </c>
      <c r="E28">
        <v>0.5</v>
      </c>
      <c r="F28">
        <v>1.5</v>
      </c>
    </row>
    <row r="29" spans="1:6" ht="60.75">
      <c r="B29" t="s">
        <v>201</v>
      </c>
      <c r="C29" s="62" t="s">
        <v>202</v>
      </c>
      <c r="E29">
        <v>0.5</v>
      </c>
      <c r="F29">
        <v>3.5</v>
      </c>
    </row>
    <row r="30" spans="1:6">
      <c r="B30" t="s">
        <v>203</v>
      </c>
      <c r="C30" t="s">
        <v>204</v>
      </c>
      <c r="F30">
        <v>0.5</v>
      </c>
    </row>
  </sheetData>
  <mergeCells count="1">
    <mergeCell ref="B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2026-01-09T17:29:48Z</dcterms:created>
  <dcterms:modified xsi:type="dcterms:W3CDTF">2026-05-24T15:05:11Z</dcterms:modified>
  <cp:category/>
  <cp:contentStatus/>
</cp:coreProperties>
</file>